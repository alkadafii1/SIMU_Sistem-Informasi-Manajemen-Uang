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4B0C244-5450-4462-8DB7-526620F11AFA}" xr6:coauthVersionLast="47" xr6:coauthVersionMax="47" xr10:uidLastSave="{00000000-0000-0000-0000-000000000000}"/>
  <bookViews>
    <workbookView xWindow="-110" yWindow="-110" windowWidth="19420" windowHeight="11500" xr2:uid="{091CE721-32B6-40C0-9A0F-00C008878B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2" i="1" l="1"/>
  <c r="H33" i="1"/>
  <c r="I33" i="1"/>
  <c r="J33" i="1"/>
  <c r="K33" i="1"/>
  <c r="L33" i="1"/>
  <c r="M33" i="1"/>
  <c r="N33" i="1"/>
  <c r="O33" i="1"/>
  <c r="P33" i="1"/>
  <c r="Q33" i="1"/>
  <c r="G33" i="1"/>
  <c r="S32" i="1"/>
  <c r="C33" i="1"/>
</calcChain>
</file>

<file path=xl/sharedStrings.xml><?xml version="1.0" encoding="utf-8"?>
<sst xmlns="http://schemas.openxmlformats.org/spreadsheetml/2006/main" count="52" uniqueCount="22">
  <si>
    <t>user_id</t>
  </si>
  <si>
    <t>Income</t>
  </si>
  <si>
    <t>Age</t>
  </si>
  <si>
    <t>Dependents</t>
  </si>
  <si>
    <t>Occupation</t>
  </si>
  <si>
    <t>Rent</t>
  </si>
  <si>
    <t>Loan_Repayment</t>
  </si>
  <si>
    <t>Insurance</t>
  </si>
  <si>
    <t>Groceries</t>
  </si>
  <si>
    <t>Transport</t>
  </si>
  <si>
    <t>Eating_Out</t>
  </si>
  <si>
    <t>Entertainment</t>
  </si>
  <si>
    <t>Utilities</t>
  </si>
  <si>
    <t>Healthcare</t>
  </si>
  <si>
    <t>Education</t>
  </si>
  <si>
    <t>Miscellaneous</t>
  </si>
  <si>
    <t>Desired_Savings_Percentage</t>
  </si>
  <si>
    <t>Desired_Savings</t>
  </si>
  <si>
    <t>Disposable_Income</t>
  </si>
  <si>
    <t>Self_Employed</t>
  </si>
  <si>
    <t>tanggal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</si>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</sst>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14" fontId="0" fillId="0" borderId="0" xfId="0" applyNumberFormat="1"/>
    <xf numFmtId="3" fontId="1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D0C5-B155-46F5-9D75-CB41B127B9B3}">
  <dimension ref="A1:T37"/>
  <sheetViews>
    <sheetView tabSelected="1" workbookViewId="0">
      <selection activeCell="A34" sqref="A34"/>
    </sheetView>
  </sheetViews>
  <sheetFormatPr defaultRowHeight="14.5" x14ac:dyDescent="0.35"/>
  <cols>
    <col min="1" max="1" width="17.54296875" bestFit="1" customWidth="1"/>
    <col min="3" max="3" width="9.90625" bestFit="1" customWidth="1"/>
    <col min="4" max="4" width="3.90625" bestFit="1" customWidth="1"/>
    <col min="6" max="6" width="13.1796875" bestFit="1" customWidth="1"/>
    <col min="7" max="7" width="9.90625" bestFit="1" customWidth="1"/>
    <col min="8" max="8" width="8.90625" bestFit="1" customWidth="1"/>
    <col min="10" max="10" width="9.90625" bestFit="1" customWidth="1"/>
    <col min="11" max="11" width="9" bestFit="1" customWidth="1"/>
    <col min="12" max="12" width="10" bestFit="1" customWidth="1"/>
    <col min="13" max="13" width="12.90625" style="7" bestFit="1" customWidth="1"/>
    <col min="14" max="14" width="7.36328125" bestFit="1" customWidth="1"/>
    <col min="20" max="20" width="9.90625" bestFit="1" customWidth="1"/>
  </cols>
  <sheetData>
    <row r="1" spans="1:20" x14ac:dyDescent="0.35">
      <c r="A1" t="s">
        <v>20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6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s="4">
        <v>46143</v>
      </c>
      <c r="B2">
        <v>123</v>
      </c>
      <c r="C2" s="2">
        <v>20000000</v>
      </c>
      <c r="D2">
        <v>27</v>
      </c>
      <c r="E2">
        <v>3</v>
      </c>
      <c r="F2" s="3" t="s">
        <v>19</v>
      </c>
      <c r="G2" s="2">
        <v>7200000</v>
      </c>
      <c r="H2" s="2">
        <v>2000000</v>
      </c>
      <c r="I2" s="2">
        <v>50000</v>
      </c>
      <c r="J2" s="5">
        <v>73448</v>
      </c>
      <c r="K2" s="2">
        <v>0</v>
      </c>
      <c r="L2" s="5">
        <v>17836</v>
      </c>
      <c r="M2" s="6">
        <v>16170</v>
      </c>
      <c r="N2">
        <v>0</v>
      </c>
      <c r="O2">
        <v>0</v>
      </c>
      <c r="P2">
        <v>0</v>
      </c>
      <c r="Q2" s="1">
        <v>88465</v>
      </c>
      <c r="R2" s="8">
        <v>0</v>
      </c>
      <c r="S2">
        <v>0</v>
      </c>
      <c r="T2" s="2">
        <v>0</v>
      </c>
    </row>
    <row r="3" spans="1:20" x14ac:dyDescent="0.35">
      <c r="A3" s="4">
        <v>46144</v>
      </c>
      <c r="B3">
        <v>123</v>
      </c>
      <c r="C3" s="2">
        <v>0</v>
      </c>
      <c r="D3">
        <v>27</v>
      </c>
      <c r="E3">
        <v>3</v>
      </c>
      <c r="F3" s="3" t="s">
        <v>19</v>
      </c>
      <c r="G3" s="2">
        <v>0</v>
      </c>
      <c r="H3" s="2">
        <v>0</v>
      </c>
      <c r="I3" s="2">
        <v>0</v>
      </c>
      <c r="J3" s="5">
        <v>91428</v>
      </c>
      <c r="K3" s="2">
        <v>0</v>
      </c>
      <c r="L3" s="5">
        <v>16620</v>
      </c>
      <c r="M3" s="6">
        <v>34149</v>
      </c>
      <c r="N3">
        <v>0</v>
      </c>
      <c r="O3">
        <v>0</v>
      </c>
      <c r="P3">
        <v>0</v>
      </c>
      <c r="Q3" s="1">
        <v>69276</v>
      </c>
      <c r="R3">
        <v>0</v>
      </c>
      <c r="S3">
        <v>0</v>
      </c>
      <c r="T3" s="2">
        <v>0</v>
      </c>
    </row>
    <row r="4" spans="1:20" x14ac:dyDescent="0.35">
      <c r="A4" s="4">
        <v>46145</v>
      </c>
      <c r="B4">
        <v>123</v>
      </c>
      <c r="C4" s="2">
        <v>0</v>
      </c>
      <c r="D4">
        <v>27</v>
      </c>
      <c r="E4">
        <v>3</v>
      </c>
      <c r="F4" s="3" t="s">
        <v>19</v>
      </c>
      <c r="G4" s="2">
        <v>0</v>
      </c>
      <c r="H4" s="2">
        <v>0</v>
      </c>
      <c r="I4" s="2">
        <v>0</v>
      </c>
      <c r="J4" s="5">
        <v>24958</v>
      </c>
      <c r="K4" s="2">
        <v>0</v>
      </c>
      <c r="L4" s="5">
        <v>32300</v>
      </c>
      <c r="M4" s="6">
        <v>34580</v>
      </c>
      <c r="N4">
        <v>0</v>
      </c>
      <c r="O4">
        <v>0</v>
      </c>
      <c r="P4">
        <v>0</v>
      </c>
      <c r="Q4" s="1">
        <v>69912</v>
      </c>
      <c r="R4">
        <v>0</v>
      </c>
      <c r="S4">
        <v>0</v>
      </c>
      <c r="T4" s="2">
        <v>0</v>
      </c>
    </row>
    <row r="5" spans="1:20" x14ac:dyDescent="0.35">
      <c r="A5" s="4">
        <v>46146</v>
      </c>
      <c r="B5">
        <v>123</v>
      </c>
      <c r="C5" s="2">
        <v>0</v>
      </c>
      <c r="D5">
        <v>27</v>
      </c>
      <c r="E5">
        <v>3</v>
      </c>
      <c r="F5" s="3" t="s">
        <v>19</v>
      </c>
      <c r="G5" s="2">
        <v>0</v>
      </c>
      <c r="H5" s="2">
        <v>0</v>
      </c>
      <c r="I5" s="2">
        <v>0</v>
      </c>
      <c r="J5" s="5">
        <v>26212</v>
      </c>
      <c r="K5" s="2">
        <v>20000</v>
      </c>
      <c r="L5" s="5">
        <v>17708</v>
      </c>
      <c r="M5" s="6">
        <v>30843</v>
      </c>
      <c r="N5">
        <v>0</v>
      </c>
      <c r="O5">
        <v>0</v>
      </c>
      <c r="P5">
        <v>0</v>
      </c>
      <c r="Q5" s="1">
        <v>98361</v>
      </c>
      <c r="R5">
        <v>0</v>
      </c>
      <c r="S5">
        <v>0</v>
      </c>
      <c r="T5" s="2">
        <v>0</v>
      </c>
    </row>
    <row r="6" spans="1:20" x14ac:dyDescent="0.35">
      <c r="A6" s="4">
        <v>46147</v>
      </c>
      <c r="B6">
        <v>123</v>
      </c>
      <c r="C6" s="2">
        <v>0</v>
      </c>
      <c r="D6">
        <v>27</v>
      </c>
      <c r="E6">
        <v>3</v>
      </c>
      <c r="F6" s="3" t="s">
        <v>19</v>
      </c>
      <c r="G6" s="2">
        <v>0</v>
      </c>
      <c r="H6" s="2">
        <v>0</v>
      </c>
      <c r="I6" s="2">
        <v>0</v>
      </c>
      <c r="J6" s="5">
        <v>89410</v>
      </c>
      <c r="K6" s="2">
        <v>0</v>
      </c>
      <c r="L6" s="5">
        <v>47375</v>
      </c>
      <c r="M6" s="6">
        <v>20605</v>
      </c>
      <c r="N6">
        <v>0</v>
      </c>
      <c r="O6">
        <v>0</v>
      </c>
      <c r="P6">
        <v>0</v>
      </c>
      <c r="Q6" s="1">
        <v>94307</v>
      </c>
      <c r="R6">
        <v>0</v>
      </c>
      <c r="S6">
        <v>0</v>
      </c>
      <c r="T6" s="2">
        <v>0</v>
      </c>
    </row>
    <row r="7" spans="1:20" x14ac:dyDescent="0.35">
      <c r="A7" s="4">
        <v>46148</v>
      </c>
      <c r="B7">
        <v>123</v>
      </c>
      <c r="C7" s="2">
        <v>0</v>
      </c>
      <c r="D7">
        <v>27</v>
      </c>
      <c r="E7">
        <v>3</v>
      </c>
      <c r="F7" s="3" t="s">
        <v>19</v>
      </c>
      <c r="G7" s="2">
        <v>0</v>
      </c>
      <c r="H7" s="2">
        <v>0</v>
      </c>
      <c r="I7" s="2">
        <v>0</v>
      </c>
      <c r="J7" s="5">
        <v>46664</v>
      </c>
      <c r="K7" s="2">
        <v>0</v>
      </c>
      <c r="L7" s="5">
        <v>39949</v>
      </c>
      <c r="M7" s="6">
        <v>38984</v>
      </c>
      <c r="N7" s="2">
        <v>180000</v>
      </c>
      <c r="O7">
        <v>0</v>
      </c>
      <c r="P7">
        <v>0</v>
      </c>
      <c r="Q7" s="1">
        <v>38751</v>
      </c>
      <c r="R7">
        <v>0</v>
      </c>
      <c r="S7">
        <v>0</v>
      </c>
      <c r="T7" s="2">
        <v>0</v>
      </c>
    </row>
    <row r="8" spans="1:20" x14ac:dyDescent="0.35">
      <c r="A8" s="4">
        <v>46149</v>
      </c>
      <c r="B8">
        <v>123</v>
      </c>
      <c r="C8" s="2">
        <v>0</v>
      </c>
      <c r="D8">
        <v>27</v>
      </c>
      <c r="E8">
        <v>3</v>
      </c>
      <c r="F8" s="3" t="s">
        <v>19</v>
      </c>
      <c r="G8" s="2">
        <v>0</v>
      </c>
      <c r="H8" s="2">
        <v>0</v>
      </c>
      <c r="I8" s="2">
        <v>0</v>
      </c>
      <c r="J8" s="5">
        <v>33717</v>
      </c>
      <c r="K8" s="2">
        <v>30000</v>
      </c>
      <c r="L8" s="5">
        <v>37670</v>
      </c>
      <c r="M8" s="6">
        <v>39126</v>
      </c>
      <c r="N8">
        <v>0</v>
      </c>
      <c r="O8">
        <v>0</v>
      </c>
      <c r="P8">
        <v>0</v>
      </c>
      <c r="Q8" s="1">
        <v>73190</v>
      </c>
      <c r="R8">
        <v>0</v>
      </c>
      <c r="S8">
        <v>0</v>
      </c>
      <c r="T8" s="2">
        <v>0</v>
      </c>
    </row>
    <row r="9" spans="1:20" x14ac:dyDescent="0.35">
      <c r="A9" s="4">
        <v>46150</v>
      </c>
      <c r="B9">
        <v>123</v>
      </c>
      <c r="C9" s="2">
        <v>0</v>
      </c>
      <c r="D9">
        <v>27</v>
      </c>
      <c r="E9">
        <v>3</v>
      </c>
      <c r="F9" s="3" t="s">
        <v>19</v>
      </c>
      <c r="G9" s="2">
        <v>0</v>
      </c>
      <c r="H9" s="2">
        <v>0</v>
      </c>
      <c r="I9" s="2">
        <v>0</v>
      </c>
      <c r="J9" s="5">
        <v>24529</v>
      </c>
      <c r="K9" s="2">
        <v>0</v>
      </c>
      <c r="L9" s="5">
        <v>36560</v>
      </c>
      <c r="M9" s="6">
        <v>13235</v>
      </c>
      <c r="N9">
        <v>0</v>
      </c>
      <c r="O9">
        <v>0</v>
      </c>
      <c r="P9">
        <v>0</v>
      </c>
      <c r="Q9" s="1">
        <v>51845</v>
      </c>
      <c r="R9">
        <v>0</v>
      </c>
      <c r="S9">
        <v>0</v>
      </c>
      <c r="T9" s="2">
        <v>0</v>
      </c>
    </row>
    <row r="10" spans="1:20" x14ac:dyDescent="0.35">
      <c r="A10" s="4">
        <v>46151</v>
      </c>
      <c r="B10">
        <v>123</v>
      </c>
      <c r="C10" s="2">
        <v>0</v>
      </c>
      <c r="D10">
        <v>27</v>
      </c>
      <c r="E10">
        <v>3</v>
      </c>
      <c r="F10" s="3" t="s">
        <v>19</v>
      </c>
      <c r="G10" s="2">
        <v>0</v>
      </c>
      <c r="H10" s="2">
        <v>0</v>
      </c>
      <c r="I10" s="2">
        <v>0</v>
      </c>
      <c r="J10" s="5">
        <v>65003</v>
      </c>
      <c r="K10" s="2">
        <v>0</v>
      </c>
      <c r="L10" s="5">
        <v>30665</v>
      </c>
      <c r="M10" s="6">
        <v>46971</v>
      </c>
      <c r="N10">
        <v>0</v>
      </c>
      <c r="O10">
        <v>0</v>
      </c>
      <c r="P10">
        <v>0</v>
      </c>
      <c r="Q10" s="1">
        <v>62531</v>
      </c>
      <c r="R10">
        <v>0</v>
      </c>
      <c r="S10">
        <v>0</v>
      </c>
      <c r="T10" s="2">
        <v>0</v>
      </c>
    </row>
    <row r="11" spans="1:20" x14ac:dyDescent="0.35">
      <c r="A11" s="4">
        <v>46152</v>
      </c>
      <c r="B11">
        <v>123</v>
      </c>
      <c r="C11" s="2">
        <v>0</v>
      </c>
      <c r="D11">
        <v>27</v>
      </c>
      <c r="E11">
        <v>3</v>
      </c>
      <c r="F11" s="3" t="s">
        <v>19</v>
      </c>
      <c r="G11" s="2">
        <v>0</v>
      </c>
      <c r="H11" s="2">
        <v>0</v>
      </c>
      <c r="I11" s="2">
        <v>0</v>
      </c>
      <c r="J11" s="5">
        <v>54147</v>
      </c>
      <c r="K11" s="2">
        <v>0</v>
      </c>
      <c r="L11" s="5">
        <v>42878</v>
      </c>
      <c r="M11" s="6">
        <v>23565</v>
      </c>
      <c r="N11">
        <v>0</v>
      </c>
      <c r="O11">
        <v>0</v>
      </c>
      <c r="P11">
        <v>0</v>
      </c>
      <c r="Q11" s="1">
        <v>11236</v>
      </c>
      <c r="R11">
        <v>0</v>
      </c>
      <c r="S11">
        <v>0</v>
      </c>
      <c r="T11" s="2">
        <v>0</v>
      </c>
    </row>
    <row r="12" spans="1:20" x14ac:dyDescent="0.35">
      <c r="A12" s="4">
        <v>46153</v>
      </c>
      <c r="B12">
        <v>123</v>
      </c>
      <c r="C12" s="2">
        <v>0</v>
      </c>
      <c r="D12">
        <v>27</v>
      </c>
      <c r="E12">
        <v>3</v>
      </c>
      <c r="F12" s="3" t="s">
        <v>19</v>
      </c>
      <c r="G12" s="2">
        <v>0</v>
      </c>
      <c r="H12" s="2">
        <v>0</v>
      </c>
      <c r="I12" s="2">
        <v>0</v>
      </c>
      <c r="J12" s="5">
        <v>70439</v>
      </c>
      <c r="K12" s="2">
        <v>20000</v>
      </c>
      <c r="L12" s="5">
        <v>47342</v>
      </c>
      <c r="M12" s="6">
        <v>30357</v>
      </c>
      <c r="N12">
        <v>0</v>
      </c>
      <c r="O12">
        <v>0</v>
      </c>
      <c r="P12">
        <v>0</v>
      </c>
      <c r="Q12" s="1">
        <v>56178</v>
      </c>
      <c r="R12">
        <v>0</v>
      </c>
      <c r="S12">
        <v>0</v>
      </c>
      <c r="T12" s="2">
        <v>0</v>
      </c>
    </row>
    <row r="13" spans="1:20" x14ac:dyDescent="0.35">
      <c r="A13" s="4">
        <v>46154</v>
      </c>
      <c r="B13">
        <v>123</v>
      </c>
      <c r="C13" s="2">
        <v>0</v>
      </c>
      <c r="D13">
        <v>27</v>
      </c>
      <c r="E13">
        <v>3</v>
      </c>
      <c r="F13" s="3" t="s">
        <v>19</v>
      </c>
      <c r="G13" s="2">
        <v>0</v>
      </c>
      <c r="H13" s="2">
        <v>0</v>
      </c>
      <c r="I13" s="2">
        <v>0</v>
      </c>
      <c r="J13" s="5">
        <v>15249</v>
      </c>
      <c r="K13" s="2">
        <v>0</v>
      </c>
      <c r="L13" s="5">
        <v>38159</v>
      </c>
      <c r="M13" s="6">
        <v>34785</v>
      </c>
      <c r="N13">
        <v>0</v>
      </c>
      <c r="O13">
        <v>0</v>
      </c>
      <c r="P13">
        <v>0</v>
      </c>
      <c r="Q13" s="1">
        <v>69282</v>
      </c>
      <c r="R13">
        <v>0</v>
      </c>
      <c r="S13">
        <v>0</v>
      </c>
      <c r="T13" s="2">
        <v>0</v>
      </c>
    </row>
    <row r="14" spans="1:20" x14ac:dyDescent="0.35">
      <c r="A14" s="4">
        <v>46155</v>
      </c>
      <c r="B14">
        <v>123</v>
      </c>
      <c r="C14" s="2">
        <v>0</v>
      </c>
      <c r="D14">
        <v>27</v>
      </c>
      <c r="E14">
        <v>3</v>
      </c>
      <c r="F14" s="3" t="s">
        <v>19</v>
      </c>
      <c r="G14" s="2">
        <v>0</v>
      </c>
      <c r="H14" s="2">
        <v>0</v>
      </c>
      <c r="I14" s="2">
        <v>0</v>
      </c>
      <c r="J14" s="5">
        <v>42808</v>
      </c>
      <c r="K14" s="2">
        <v>0</v>
      </c>
      <c r="L14" s="5">
        <v>47080</v>
      </c>
      <c r="M14" s="6">
        <v>27427</v>
      </c>
      <c r="N14">
        <v>0</v>
      </c>
      <c r="O14">
        <v>0</v>
      </c>
      <c r="P14">
        <v>0</v>
      </c>
      <c r="Q14" s="1">
        <v>19531</v>
      </c>
      <c r="R14">
        <v>0</v>
      </c>
      <c r="S14">
        <v>0</v>
      </c>
      <c r="T14" s="2">
        <v>0</v>
      </c>
    </row>
    <row r="15" spans="1:20" x14ac:dyDescent="0.35">
      <c r="A15" s="4">
        <v>46156</v>
      </c>
      <c r="B15">
        <v>123</v>
      </c>
      <c r="C15" s="2">
        <v>0</v>
      </c>
      <c r="D15">
        <v>27</v>
      </c>
      <c r="E15">
        <v>3</v>
      </c>
      <c r="F15" s="3" t="s">
        <v>19</v>
      </c>
      <c r="G15" s="2">
        <v>0</v>
      </c>
      <c r="H15" s="2">
        <v>0</v>
      </c>
      <c r="I15" s="2">
        <v>0</v>
      </c>
      <c r="J15" s="5">
        <v>90782</v>
      </c>
      <c r="K15" s="2">
        <v>30000</v>
      </c>
      <c r="L15" s="5">
        <v>12583</v>
      </c>
      <c r="M15" s="6">
        <v>31249</v>
      </c>
      <c r="N15">
        <v>0</v>
      </c>
      <c r="O15">
        <v>0</v>
      </c>
      <c r="P15">
        <v>0</v>
      </c>
      <c r="Q15" s="1">
        <v>16752</v>
      </c>
      <c r="R15">
        <v>0</v>
      </c>
      <c r="S15">
        <v>0</v>
      </c>
      <c r="T15" s="2">
        <v>0</v>
      </c>
    </row>
    <row r="16" spans="1:20" x14ac:dyDescent="0.35">
      <c r="A16" s="4">
        <v>46157</v>
      </c>
      <c r="B16">
        <v>123</v>
      </c>
      <c r="C16" s="2">
        <v>0</v>
      </c>
      <c r="D16">
        <v>27</v>
      </c>
      <c r="E16">
        <v>3</v>
      </c>
      <c r="F16" s="3" t="s">
        <v>19</v>
      </c>
      <c r="G16" s="2">
        <v>0</v>
      </c>
      <c r="H16" s="2">
        <v>0</v>
      </c>
      <c r="I16" s="2">
        <v>0</v>
      </c>
      <c r="J16" s="5">
        <v>65032</v>
      </c>
      <c r="K16" s="2">
        <v>0</v>
      </c>
      <c r="L16" s="5">
        <v>17577</v>
      </c>
      <c r="M16" s="6">
        <v>49147</v>
      </c>
      <c r="N16">
        <v>0</v>
      </c>
      <c r="O16">
        <v>0</v>
      </c>
      <c r="P16">
        <v>0</v>
      </c>
      <c r="Q16" s="1">
        <v>34937</v>
      </c>
      <c r="R16">
        <v>0</v>
      </c>
      <c r="S16">
        <v>0</v>
      </c>
      <c r="T16" s="2">
        <v>0</v>
      </c>
    </row>
    <row r="17" spans="1:20" x14ac:dyDescent="0.35">
      <c r="A17" s="4">
        <v>46158</v>
      </c>
      <c r="B17">
        <v>123</v>
      </c>
      <c r="C17" s="2">
        <v>0</v>
      </c>
      <c r="D17">
        <v>27</v>
      </c>
      <c r="E17">
        <v>3</v>
      </c>
      <c r="F17" s="3" t="s">
        <v>19</v>
      </c>
      <c r="G17" s="2">
        <v>0</v>
      </c>
      <c r="H17" s="2">
        <v>0</v>
      </c>
      <c r="I17" s="2">
        <v>0</v>
      </c>
      <c r="J17" s="5">
        <v>87352</v>
      </c>
      <c r="K17" s="2">
        <v>0</v>
      </c>
      <c r="L17" s="5">
        <v>21864</v>
      </c>
      <c r="M17" s="6">
        <v>43523</v>
      </c>
      <c r="N17">
        <v>0</v>
      </c>
      <c r="O17">
        <v>0</v>
      </c>
      <c r="P17">
        <v>0</v>
      </c>
      <c r="Q17" s="1">
        <v>73953</v>
      </c>
      <c r="R17">
        <v>0</v>
      </c>
      <c r="S17">
        <v>0</v>
      </c>
      <c r="T17" s="2">
        <v>0</v>
      </c>
    </row>
    <row r="18" spans="1:20" x14ac:dyDescent="0.35">
      <c r="A18" s="4">
        <v>46159</v>
      </c>
      <c r="B18">
        <v>123</v>
      </c>
      <c r="C18" s="2">
        <v>0</v>
      </c>
      <c r="D18">
        <v>27</v>
      </c>
      <c r="E18">
        <v>3</v>
      </c>
      <c r="F18" s="3" t="s">
        <v>19</v>
      </c>
      <c r="G18" s="2">
        <v>0</v>
      </c>
      <c r="H18" s="2">
        <v>0</v>
      </c>
      <c r="I18" s="2">
        <v>0</v>
      </c>
      <c r="J18" s="5">
        <v>18522</v>
      </c>
      <c r="K18" s="2">
        <v>0</v>
      </c>
      <c r="L18" s="5">
        <v>14413</v>
      </c>
      <c r="M18" s="6">
        <v>20154</v>
      </c>
      <c r="N18">
        <v>0</v>
      </c>
      <c r="O18">
        <v>0</v>
      </c>
      <c r="P18">
        <v>0</v>
      </c>
      <c r="Q18" s="1">
        <v>30267</v>
      </c>
      <c r="R18">
        <v>0</v>
      </c>
      <c r="S18">
        <v>0</v>
      </c>
      <c r="T18" s="2">
        <v>0</v>
      </c>
    </row>
    <row r="19" spans="1:20" x14ac:dyDescent="0.35">
      <c r="A19" s="4">
        <v>46160</v>
      </c>
      <c r="B19">
        <v>123</v>
      </c>
      <c r="C19" s="2">
        <v>0</v>
      </c>
      <c r="D19">
        <v>27</v>
      </c>
      <c r="E19">
        <v>3</v>
      </c>
      <c r="F19" s="3" t="s">
        <v>19</v>
      </c>
      <c r="G19" s="2">
        <v>0</v>
      </c>
      <c r="H19" s="2">
        <v>0</v>
      </c>
      <c r="I19" s="2">
        <v>0</v>
      </c>
      <c r="J19" s="5">
        <v>37178</v>
      </c>
      <c r="K19" s="2">
        <v>20000</v>
      </c>
      <c r="L19" s="5">
        <v>24207</v>
      </c>
      <c r="M19" s="6">
        <v>35726</v>
      </c>
      <c r="N19">
        <v>0</v>
      </c>
      <c r="O19">
        <v>0</v>
      </c>
      <c r="P19">
        <v>0</v>
      </c>
      <c r="Q19" s="1">
        <v>67526</v>
      </c>
      <c r="R19">
        <v>0</v>
      </c>
      <c r="S19">
        <v>0</v>
      </c>
      <c r="T19" s="2">
        <v>0</v>
      </c>
    </row>
    <row r="20" spans="1:20" x14ac:dyDescent="0.35">
      <c r="A20" s="4">
        <v>46161</v>
      </c>
      <c r="B20">
        <v>123</v>
      </c>
      <c r="C20" s="2">
        <v>0</v>
      </c>
      <c r="D20">
        <v>27</v>
      </c>
      <c r="E20">
        <v>3</v>
      </c>
      <c r="F20" s="3" t="s">
        <v>19</v>
      </c>
      <c r="G20" s="2">
        <v>0</v>
      </c>
      <c r="H20" s="2">
        <v>0</v>
      </c>
      <c r="I20" s="2">
        <v>0</v>
      </c>
      <c r="J20" s="5">
        <v>35292</v>
      </c>
      <c r="K20" s="2">
        <v>0</v>
      </c>
      <c r="L20" s="5">
        <v>18860</v>
      </c>
      <c r="M20" s="6">
        <v>22196</v>
      </c>
      <c r="N20">
        <v>0</v>
      </c>
      <c r="O20" s="2">
        <v>15000</v>
      </c>
      <c r="P20">
        <v>0</v>
      </c>
      <c r="Q20" s="1">
        <v>14450</v>
      </c>
      <c r="R20">
        <v>0</v>
      </c>
      <c r="S20">
        <v>0</v>
      </c>
      <c r="T20" s="2">
        <v>0</v>
      </c>
    </row>
    <row r="21" spans="1:20" x14ac:dyDescent="0.35">
      <c r="A21" s="4">
        <v>46162</v>
      </c>
      <c r="B21">
        <v>123</v>
      </c>
      <c r="C21" s="2">
        <v>0</v>
      </c>
      <c r="D21">
        <v>27</v>
      </c>
      <c r="E21">
        <v>3</v>
      </c>
      <c r="F21" s="3" t="s">
        <v>19</v>
      </c>
      <c r="G21" s="2">
        <v>0</v>
      </c>
      <c r="H21" s="2">
        <v>0</v>
      </c>
      <c r="I21" s="2">
        <v>0</v>
      </c>
      <c r="J21" s="5">
        <v>28191</v>
      </c>
      <c r="K21" s="2">
        <v>0</v>
      </c>
      <c r="L21" s="5">
        <v>14694</v>
      </c>
      <c r="M21" s="6">
        <v>36148</v>
      </c>
      <c r="N21">
        <v>0</v>
      </c>
      <c r="O21">
        <v>0</v>
      </c>
      <c r="P21">
        <v>0</v>
      </c>
      <c r="Q21" s="1">
        <v>52466</v>
      </c>
      <c r="R21">
        <v>0</v>
      </c>
      <c r="S21">
        <v>0</v>
      </c>
      <c r="T21" s="2">
        <v>0</v>
      </c>
    </row>
    <row r="22" spans="1:20" x14ac:dyDescent="0.35">
      <c r="A22" s="4">
        <v>46163</v>
      </c>
      <c r="B22">
        <v>123</v>
      </c>
      <c r="C22" s="2">
        <v>0</v>
      </c>
      <c r="D22">
        <v>27</v>
      </c>
      <c r="E22">
        <v>3</v>
      </c>
      <c r="F22" s="3" t="s">
        <v>19</v>
      </c>
      <c r="G22" s="2">
        <v>0</v>
      </c>
      <c r="H22" s="2">
        <v>0</v>
      </c>
      <c r="I22" s="2">
        <v>0</v>
      </c>
      <c r="J22" s="5">
        <v>24546</v>
      </c>
      <c r="K22" s="2">
        <v>30000</v>
      </c>
      <c r="L22" s="5">
        <v>41361</v>
      </c>
      <c r="M22" s="6">
        <v>42059</v>
      </c>
      <c r="N22">
        <v>0</v>
      </c>
      <c r="O22">
        <v>0</v>
      </c>
      <c r="P22">
        <v>0</v>
      </c>
      <c r="Q22" s="1">
        <v>48696</v>
      </c>
      <c r="R22">
        <v>0</v>
      </c>
      <c r="S22">
        <v>0</v>
      </c>
      <c r="T22" s="2">
        <v>0</v>
      </c>
    </row>
    <row r="23" spans="1:20" x14ac:dyDescent="0.35">
      <c r="A23" s="4">
        <v>46164</v>
      </c>
      <c r="B23">
        <v>123</v>
      </c>
      <c r="C23" s="2">
        <v>0</v>
      </c>
      <c r="D23">
        <v>27</v>
      </c>
      <c r="E23">
        <v>3</v>
      </c>
      <c r="F23" s="3" t="s">
        <v>19</v>
      </c>
      <c r="G23" s="2">
        <v>0</v>
      </c>
      <c r="H23" s="2">
        <v>0</v>
      </c>
      <c r="I23" s="2">
        <v>0</v>
      </c>
      <c r="J23" s="5">
        <v>59649</v>
      </c>
      <c r="K23" s="2">
        <v>0</v>
      </c>
      <c r="L23" s="5">
        <v>47521</v>
      </c>
      <c r="M23" s="6">
        <v>28136</v>
      </c>
      <c r="N23">
        <v>0</v>
      </c>
      <c r="O23">
        <v>0</v>
      </c>
      <c r="P23">
        <v>0</v>
      </c>
      <c r="Q23" s="1">
        <v>46840</v>
      </c>
      <c r="R23">
        <v>0</v>
      </c>
      <c r="S23">
        <v>0</v>
      </c>
      <c r="T23" s="2">
        <v>0</v>
      </c>
    </row>
    <row r="24" spans="1:20" x14ac:dyDescent="0.35">
      <c r="A24" s="4">
        <v>46165</v>
      </c>
      <c r="B24">
        <v>123</v>
      </c>
      <c r="C24" s="2">
        <v>0</v>
      </c>
      <c r="D24">
        <v>27</v>
      </c>
      <c r="E24">
        <v>3</v>
      </c>
      <c r="F24" s="3" t="s">
        <v>19</v>
      </c>
      <c r="G24" s="2">
        <v>0</v>
      </c>
      <c r="H24" s="2">
        <v>0</v>
      </c>
      <c r="I24" s="2">
        <v>0</v>
      </c>
      <c r="J24" s="5">
        <v>10919</v>
      </c>
      <c r="K24" s="2">
        <v>0</v>
      </c>
      <c r="L24" s="5">
        <v>31601</v>
      </c>
      <c r="M24" s="6">
        <v>37162</v>
      </c>
      <c r="N24">
        <v>0</v>
      </c>
      <c r="O24">
        <v>0</v>
      </c>
      <c r="P24">
        <v>0</v>
      </c>
      <c r="Q24" s="1">
        <v>30928</v>
      </c>
      <c r="R24">
        <v>0</v>
      </c>
      <c r="S24">
        <v>0</v>
      </c>
      <c r="T24" s="2">
        <v>0</v>
      </c>
    </row>
    <row r="25" spans="1:20" x14ac:dyDescent="0.35">
      <c r="A25" s="4">
        <v>46166</v>
      </c>
      <c r="B25">
        <v>123</v>
      </c>
      <c r="C25" s="2">
        <v>0</v>
      </c>
      <c r="D25">
        <v>27</v>
      </c>
      <c r="E25">
        <v>3</v>
      </c>
      <c r="F25" s="3" t="s">
        <v>19</v>
      </c>
      <c r="G25" s="2">
        <v>0</v>
      </c>
      <c r="H25" s="2">
        <v>0</v>
      </c>
      <c r="I25" s="2">
        <v>0</v>
      </c>
      <c r="J25" s="5">
        <v>88575</v>
      </c>
      <c r="K25" s="2">
        <v>0</v>
      </c>
      <c r="L25" s="5">
        <v>16295</v>
      </c>
      <c r="M25" s="6">
        <v>22255</v>
      </c>
      <c r="N25">
        <v>0</v>
      </c>
      <c r="O25">
        <v>0</v>
      </c>
      <c r="P25">
        <v>0</v>
      </c>
      <c r="Q25" s="1">
        <v>51693</v>
      </c>
      <c r="R25">
        <v>0</v>
      </c>
      <c r="S25">
        <v>0</v>
      </c>
      <c r="T25" s="2">
        <v>0</v>
      </c>
    </row>
    <row r="26" spans="1:20" x14ac:dyDescent="0.35">
      <c r="A26" s="4">
        <v>46167</v>
      </c>
      <c r="B26">
        <v>123</v>
      </c>
      <c r="C26" s="2">
        <v>0</v>
      </c>
      <c r="D26">
        <v>27</v>
      </c>
      <c r="E26">
        <v>3</v>
      </c>
      <c r="F26" s="3" t="s">
        <v>19</v>
      </c>
      <c r="G26" s="2">
        <v>0</v>
      </c>
      <c r="H26" s="2">
        <v>0</v>
      </c>
      <c r="I26" s="2">
        <v>0</v>
      </c>
      <c r="J26" s="5">
        <v>98876</v>
      </c>
      <c r="K26" s="2">
        <v>20000</v>
      </c>
      <c r="L26" s="5">
        <v>16026</v>
      </c>
      <c r="M26" s="6">
        <v>33239</v>
      </c>
      <c r="N26">
        <v>0</v>
      </c>
      <c r="O26">
        <v>0</v>
      </c>
      <c r="P26">
        <v>0</v>
      </c>
      <c r="Q26" s="1">
        <v>15868</v>
      </c>
      <c r="R26">
        <v>0</v>
      </c>
      <c r="S26">
        <v>0</v>
      </c>
      <c r="T26" s="2">
        <v>0</v>
      </c>
    </row>
    <row r="27" spans="1:20" x14ac:dyDescent="0.35">
      <c r="A27" s="4">
        <v>46168</v>
      </c>
      <c r="B27">
        <v>123</v>
      </c>
      <c r="C27" s="2">
        <v>0</v>
      </c>
      <c r="D27">
        <v>27</v>
      </c>
      <c r="E27">
        <v>3</v>
      </c>
      <c r="F27" s="3" t="s">
        <v>19</v>
      </c>
      <c r="G27" s="2">
        <v>0</v>
      </c>
      <c r="H27" s="2">
        <v>0</v>
      </c>
      <c r="I27" s="2">
        <v>0</v>
      </c>
      <c r="J27" s="5">
        <v>95714</v>
      </c>
      <c r="K27" s="2">
        <v>0</v>
      </c>
      <c r="L27" s="5">
        <v>27533</v>
      </c>
      <c r="M27" s="6">
        <v>30258</v>
      </c>
      <c r="N27">
        <v>0</v>
      </c>
      <c r="O27">
        <v>0</v>
      </c>
      <c r="P27">
        <v>0</v>
      </c>
      <c r="Q27" s="1">
        <v>60043</v>
      </c>
      <c r="R27">
        <v>0</v>
      </c>
      <c r="S27">
        <v>0</v>
      </c>
      <c r="T27" s="2">
        <v>0</v>
      </c>
    </row>
    <row r="28" spans="1:20" x14ac:dyDescent="0.35">
      <c r="A28" s="4">
        <v>46169</v>
      </c>
      <c r="B28">
        <v>123</v>
      </c>
      <c r="C28" s="2">
        <v>10000000</v>
      </c>
      <c r="D28">
        <v>27</v>
      </c>
      <c r="E28">
        <v>3</v>
      </c>
      <c r="F28" s="3" t="s">
        <v>19</v>
      </c>
      <c r="G28" s="2">
        <v>0</v>
      </c>
      <c r="H28" s="2">
        <v>0</v>
      </c>
      <c r="I28" s="2">
        <v>0</v>
      </c>
      <c r="J28" s="5">
        <v>17919</v>
      </c>
      <c r="K28" s="2">
        <v>0</v>
      </c>
      <c r="L28" s="5">
        <v>38398</v>
      </c>
      <c r="M28" s="6">
        <v>16838</v>
      </c>
      <c r="N28">
        <v>0</v>
      </c>
      <c r="O28">
        <v>0</v>
      </c>
      <c r="P28">
        <v>0</v>
      </c>
      <c r="Q28" s="1">
        <v>21064</v>
      </c>
      <c r="R28">
        <v>0</v>
      </c>
      <c r="S28">
        <v>0</v>
      </c>
      <c r="T28" s="2">
        <v>0</v>
      </c>
    </row>
    <row r="29" spans="1:20" x14ac:dyDescent="0.35">
      <c r="A29" s="4">
        <v>46170</v>
      </c>
      <c r="B29">
        <v>123</v>
      </c>
      <c r="C29" s="2">
        <v>0</v>
      </c>
      <c r="D29">
        <v>27</v>
      </c>
      <c r="E29">
        <v>3</v>
      </c>
      <c r="F29" s="3" t="s">
        <v>19</v>
      </c>
      <c r="G29" s="2">
        <v>0</v>
      </c>
      <c r="H29" s="2">
        <v>0</v>
      </c>
      <c r="I29" s="2">
        <v>0</v>
      </c>
      <c r="J29" s="5">
        <v>68549</v>
      </c>
      <c r="K29" s="2">
        <v>30000</v>
      </c>
      <c r="L29" s="5">
        <v>10200</v>
      </c>
      <c r="M29" s="6">
        <v>20895</v>
      </c>
      <c r="N29">
        <v>0</v>
      </c>
      <c r="O29">
        <v>0</v>
      </c>
      <c r="P29">
        <v>0</v>
      </c>
      <c r="Q29" s="1">
        <v>86205</v>
      </c>
      <c r="R29">
        <v>0</v>
      </c>
      <c r="S29">
        <v>0</v>
      </c>
      <c r="T29" s="2">
        <v>0</v>
      </c>
    </row>
    <row r="30" spans="1:20" x14ac:dyDescent="0.35">
      <c r="A30" s="4">
        <v>46171</v>
      </c>
      <c r="B30">
        <v>123</v>
      </c>
      <c r="C30" s="2">
        <v>0</v>
      </c>
      <c r="D30">
        <v>27</v>
      </c>
      <c r="E30">
        <v>3</v>
      </c>
      <c r="F30" s="3" t="s">
        <v>19</v>
      </c>
      <c r="G30" s="2">
        <v>0</v>
      </c>
      <c r="H30" s="2">
        <v>0</v>
      </c>
      <c r="I30" s="2">
        <v>0</v>
      </c>
      <c r="J30" s="5">
        <v>87892</v>
      </c>
      <c r="K30" s="2">
        <v>0</v>
      </c>
      <c r="L30" s="5">
        <v>14516</v>
      </c>
      <c r="M30" s="6">
        <v>31789</v>
      </c>
      <c r="N30">
        <v>0</v>
      </c>
      <c r="O30">
        <v>0</v>
      </c>
      <c r="P30">
        <v>0</v>
      </c>
      <c r="Q30" s="1">
        <v>40498</v>
      </c>
      <c r="R30">
        <v>0</v>
      </c>
      <c r="S30">
        <v>0</v>
      </c>
      <c r="T30" s="2">
        <v>0</v>
      </c>
    </row>
    <row r="31" spans="1:20" x14ac:dyDescent="0.35">
      <c r="A31" s="4">
        <v>46172</v>
      </c>
      <c r="B31">
        <v>123</v>
      </c>
      <c r="C31" s="2">
        <v>0</v>
      </c>
      <c r="D31">
        <v>27</v>
      </c>
      <c r="E31">
        <v>3</v>
      </c>
      <c r="F31" s="3" t="s">
        <v>19</v>
      </c>
      <c r="G31" s="2">
        <v>0</v>
      </c>
      <c r="H31" s="2">
        <v>0</v>
      </c>
      <c r="I31" s="2">
        <v>0</v>
      </c>
      <c r="J31" s="5">
        <v>16408</v>
      </c>
      <c r="K31" s="2">
        <v>0</v>
      </c>
      <c r="L31" s="5">
        <v>23374</v>
      </c>
      <c r="M31" s="6">
        <v>27221</v>
      </c>
      <c r="N31">
        <v>0</v>
      </c>
      <c r="O31" s="2">
        <v>10000</v>
      </c>
      <c r="P31">
        <v>0</v>
      </c>
      <c r="Q31" s="1">
        <v>71580</v>
      </c>
      <c r="R31">
        <v>0</v>
      </c>
      <c r="S31">
        <v>0</v>
      </c>
      <c r="T31" s="2">
        <v>0</v>
      </c>
    </row>
    <row r="32" spans="1:20" x14ac:dyDescent="0.35">
      <c r="A32" s="4">
        <v>46173</v>
      </c>
      <c r="B32">
        <v>123</v>
      </c>
      <c r="C32" s="2">
        <v>0</v>
      </c>
      <c r="D32">
        <v>27</v>
      </c>
      <c r="E32">
        <v>3</v>
      </c>
      <c r="F32" s="3" t="s">
        <v>19</v>
      </c>
      <c r="G32" s="2">
        <v>0</v>
      </c>
      <c r="H32" s="2">
        <v>0</v>
      </c>
      <c r="I32" s="2">
        <v>0</v>
      </c>
      <c r="J32" s="5">
        <v>98267</v>
      </c>
      <c r="K32" s="2">
        <v>0</v>
      </c>
      <c r="L32" s="5">
        <v>13182</v>
      </c>
      <c r="M32" s="6">
        <v>18628</v>
      </c>
      <c r="N32">
        <v>0</v>
      </c>
      <c r="O32">
        <v>0</v>
      </c>
      <c r="P32">
        <v>0</v>
      </c>
      <c r="Q32" s="1">
        <v>72088</v>
      </c>
      <c r="R32" s="8">
        <v>0.1</v>
      </c>
      <c r="S32">
        <f>(C2+C28)*R32</f>
        <v>3000000</v>
      </c>
      <c r="T32" s="2">
        <f>C33-G33-H33-I33-J33-K33-L33-M33-N33-O33-P33-Q33</f>
        <v>15224839</v>
      </c>
    </row>
    <row r="33" spans="1:20" x14ac:dyDescent="0.35">
      <c r="A33" t="s">
        <v>21</v>
      </c>
      <c r="C33" s="2">
        <f>SUM(C2:C32)</f>
        <v>30000000</v>
      </c>
      <c r="G33" s="2">
        <f>SUM(G2:G32)</f>
        <v>7200000</v>
      </c>
      <c r="H33" s="2">
        <f t="shared" ref="H33:Q33" si="0">SUM(H2:H32)</f>
        <v>2000000</v>
      </c>
      <c r="I33" s="2">
        <f t="shared" si="0"/>
        <v>50000</v>
      </c>
      <c r="J33" s="2">
        <f t="shared" si="0"/>
        <v>1687675</v>
      </c>
      <c r="K33" s="2">
        <f t="shared" si="0"/>
        <v>200000</v>
      </c>
      <c r="L33" s="2">
        <f t="shared" si="0"/>
        <v>856347</v>
      </c>
      <c r="M33" s="2">
        <f t="shared" si="0"/>
        <v>937420</v>
      </c>
      <c r="N33" s="2">
        <f t="shared" si="0"/>
        <v>180000</v>
      </c>
      <c r="O33" s="2">
        <f t="shared" si="0"/>
        <v>25000</v>
      </c>
      <c r="P33" s="2">
        <f t="shared" si="0"/>
        <v>0</v>
      </c>
      <c r="Q33" s="2">
        <f t="shared" si="0"/>
        <v>1638719</v>
      </c>
      <c r="T33" s="2"/>
    </row>
    <row r="34" spans="1:20" x14ac:dyDescent="0.35">
      <c r="J34" s="2"/>
      <c r="K34" s="2"/>
    </row>
    <row r="35" spans="1:20" x14ac:dyDescent="0.35">
      <c r="J35" s="2"/>
      <c r="K35" s="2"/>
    </row>
    <row r="36" spans="1:20" x14ac:dyDescent="0.35">
      <c r="J36" s="2"/>
      <c r="K36" s="2"/>
    </row>
    <row r="37" spans="1:20" x14ac:dyDescent="0.35">
      <c r="J3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EE9D-10C7-4185-8001-260DC27BCA45}">
  <dimension ref="A1"/>
  <sheetViews>
    <sheetView workbookViewId="0"/>
  </sheetViews>
  <sheetFormatPr defaultRowHeight="14.5" x14ac:dyDescent="0.35"/>
  <sheetData>
    <row r="1" spans="1:1" x14ac:dyDescent="0.35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meilani bulan</dc:creator>
  <cp:lastModifiedBy>meilani bulan</cp:lastModifiedBy>
  <dcterms:created xsi:type="dcterms:W3CDTF">2026-05-21T09:43:59Z</dcterms:created>
  <dcterms:modified xsi:type="dcterms:W3CDTF">2026-05-21T10:26:15Z</dcterms:modified>
</cp:coreProperties>
</file>